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Estimate" sheetId="3" state="visible" r:id="rId3"/>
    <sheet xmlns:r="http://schemas.openxmlformats.org/officeDocument/2006/relationships" name="Quick reply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&quot; SAR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66666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4B3BD5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3" fontId="5" fillId="3" borderId="1" pivotButton="0" quotePrefix="0" xfId="0"/>
    <xf numFmtId="0" fontId="6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3" fillId="2" borderId="0" applyAlignment="1" pivotButton="0" quotePrefix="0" xfId="0">
      <alignment vertical="center" wrapText="1"/>
    </xf>
    <xf numFmtId="0" fontId="7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7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0" customWidth="1" min="3" max="3"/>
  </cols>
  <sheetData>
    <row r="1">
      <c r="A1" s="1" t="inlineStr">
        <is>
          <t>AI cost estimate - inputs</t>
        </is>
      </c>
    </row>
    <row r="2">
      <c r="A2" s="2" t="inlineStr">
        <is>
          <t>Blue cells are inputs: change them and every total recalculates. Yellow = the levers you will most likely change.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Source / note</t>
        </is>
      </c>
    </row>
    <row r="5">
      <c r="A5" s="4" t="inlineStr">
        <is>
          <t>Chats per month (today)</t>
        </is>
      </c>
      <c r="B5" s="5" t="n">
        <v>1000</v>
      </c>
      <c r="C5" s="6" t="inlineStr">
        <is>
          <t>Production 28 Sep - 7 Oct 2026: 298 chats in ~9 days = about 1,000/month.</t>
        </is>
      </c>
    </row>
    <row r="6">
      <c r="A6" s="4" t="inlineStr">
        <is>
          <t>Growth multiplier</t>
        </is>
      </c>
      <c r="B6" s="5" t="n">
        <v>6</v>
      </c>
      <c r="C6" s="6" t="inlineStr">
        <is>
          <t>Owner scenario: today x 5-6.</t>
        </is>
      </c>
    </row>
    <row r="7">
      <c r="A7" s="4" t="inlineStr">
        <is>
          <t>AI calls per chat (agent helper)</t>
        </is>
      </c>
      <c r="B7" s="7" t="n">
        <v>5</v>
      </c>
      <c r="C7" s="6" t="inlineStr">
        <is>
          <t>Assumption: summaries, suggested replies, sentiment, enhance. Replace with the real figure from the ai_calls log after a few weeks.</t>
        </is>
      </c>
    </row>
    <row r="8">
      <c r="A8" s="4" t="inlineStr">
        <is>
          <t>Input tokens per helper call</t>
        </is>
      </c>
      <c r="B8" s="7" t="n">
        <v>1500</v>
      </c>
      <c r="C8" s="6" t="inlineStr">
        <is>
          <t>Assumption: system prompt + chat history. Avg chat = 11 messages / ~630 characters (production).</t>
        </is>
      </c>
    </row>
    <row r="9">
      <c r="A9" s="4" t="inlineStr">
        <is>
          <t>Output tokens per helper call</t>
        </is>
      </c>
      <c r="B9" s="7" t="n">
        <v>300</v>
      </c>
      <c r="C9" s="6" t="inlineStr">
        <is>
          <t>Assumption.</t>
        </is>
      </c>
    </row>
    <row r="10">
      <c r="A10" s="4" t="inlineStr">
        <is>
          <t>Customer messages per month (today)</t>
        </is>
      </c>
      <c r="B10" s="7" t="n">
        <v>5700</v>
      </c>
      <c r="C10" s="6" t="inlineStr">
        <is>
          <t>Production: 1,717 customer messages in ~9 days = about 5,700/month.</t>
        </is>
      </c>
    </row>
    <row r="11">
      <c r="A11" s="4" t="inlineStr">
        <is>
          <t>Input tokens per automated reply</t>
        </is>
      </c>
      <c r="B11" s="7" t="n">
        <v>3000</v>
      </c>
      <c r="C11" s="6" t="inlineStr">
        <is>
          <t>Assumption: full chat history + instructions + order context, sent on every customer message.</t>
        </is>
      </c>
    </row>
    <row r="12">
      <c r="A12" s="4" t="inlineStr">
        <is>
          <t>Output tokens per automated reply</t>
        </is>
      </c>
      <c r="B12" s="7" t="n">
        <v>150</v>
      </c>
      <c r="C12" s="6" t="inlineStr">
        <is>
          <t>Assumption: a short chat reply.</t>
        </is>
      </c>
    </row>
    <row r="13">
      <c r="A13" s="4" t="inlineStr">
        <is>
          <t>USD to SAR</t>
        </is>
      </c>
      <c r="B13" s="8" t="n">
        <v>3.75</v>
      </c>
      <c r="C13" s="6" t="inlineStr">
        <is>
          <t>Fixed peg.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3" customWidth="1" min="4" max="4"/>
    <col width="13" customWidth="1" min="5" max="5"/>
    <col width="100" customWidth="1" min="6" max="6"/>
  </cols>
  <sheetData>
    <row r="1">
      <c r="A1" s="1" t="inlineStr">
        <is>
          <t>List prices, USD per 1M tokens (checked 7 Oct 2026)</t>
        </is>
      </c>
    </row>
    <row r="3">
      <c r="A3" s="3" t="inlineStr">
        <is>
          <t>Model</t>
        </is>
      </c>
      <c r="B3" s="3" t="inlineStr">
        <is>
          <t>Provider</t>
        </is>
      </c>
      <c r="C3" s="3" t="inlineStr">
        <is>
          <t>Level</t>
        </is>
      </c>
      <c r="D3" s="3" t="inlineStr">
        <is>
          <t>Input $/1M</t>
        </is>
      </c>
      <c r="E3" s="3" t="inlineStr">
        <is>
          <t>Output $/1M</t>
        </is>
      </c>
      <c r="F3" s="3" t="inlineStr">
        <is>
          <t>Note</t>
        </is>
      </c>
    </row>
    <row r="4">
      <c r="A4" s="4" t="inlineStr">
        <is>
          <t>Gemini 2.5 Flash</t>
        </is>
      </c>
      <c r="B4" s="4" t="inlineStr">
        <is>
          <t>Google</t>
        </is>
      </c>
      <c r="C4" s="4" t="inlineStr">
        <is>
          <t>Current (free tier today)</t>
        </is>
      </c>
      <c r="D4" s="9" t="n">
        <v>0.3</v>
      </c>
      <c r="E4" s="9" t="n">
        <v>2.5</v>
      </c>
      <c r="F4" s="4" t="inlineStr">
        <is>
          <t>What the CRM uses now. Its "thinking" tokens are billed as output and are NOT in this estimate - the paid cost can be 2-3x higher unless thinking is turned off.</t>
        </is>
      </c>
    </row>
    <row r="5">
      <c r="A5" s="4" t="inlineStr">
        <is>
          <t>GPT-5.6 Luna</t>
        </is>
      </c>
      <c r="B5" s="4" t="inlineStr">
        <is>
          <t>OpenAI</t>
        </is>
      </c>
      <c r="C5" s="4" t="inlineStr">
        <is>
          <t>Conversation - recommended</t>
        </is>
      </c>
      <c r="D5" s="9" t="n">
        <v>0.2</v>
      </c>
      <c r="E5" s="9" t="n">
        <v>1.2</v>
      </c>
      <c r="F5" s="4" t="inlineStr">
        <is>
          <t>Budget tier of the GPT-5.6 family; enough for normal chat.</t>
        </is>
      </c>
    </row>
    <row r="6">
      <c r="A6" s="4" t="inlineStr">
        <is>
          <t>GPT-5 mini</t>
        </is>
      </c>
      <c r="B6" s="4" t="inlineStr">
        <is>
          <t>OpenAI</t>
        </is>
      </c>
      <c r="C6" s="4" t="inlineStr">
        <is>
          <t>Conversation</t>
        </is>
      </c>
      <c r="D6" s="9" t="n">
        <v>0.25</v>
      </c>
      <c r="E6" s="9" t="n">
        <v>2</v>
      </c>
      <c r="F6" s="4" t="inlineStr">
        <is>
          <t>Same level, slightly stronger.</t>
        </is>
      </c>
    </row>
    <row r="7">
      <c r="A7" s="4" t="inlineStr">
        <is>
          <t>GPT-5 nano</t>
        </is>
      </c>
      <c r="B7" s="4" t="inlineStr">
        <is>
          <t>OpenAI</t>
        </is>
      </c>
      <c r="C7" s="4" t="inlineStr">
        <is>
          <t>Cheapest</t>
        </is>
      </c>
      <c r="D7" s="9" t="n">
        <v>0.05</v>
      </c>
      <c r="E7" s="9" t="n">
        <v>0.4</v>
      </c>
      <c r="F7" s="4" t="inlineStr">
        <is>
          <t>Weaker on Arabic and tricky cases.</t>
        </is>
      </c>
    </row>
    <row r="8">
      <c r="A8" s="4" t="inlineStr">
        <is>
          <t>GPT-5.6 Terra</t>
        </is>
      </c>
      <c r="B8" s="4" t="inlineStr">
        <is>
          <t>OpenAI</t>
        </is>
      </c>
      <c r="C8" s="4" t="inlineStr">
        <is>
          <t>Mid / high (not needed)</t>
        </is>
      </c>
      <c r="D8" s="9" t="n">
        <v>2</v>
      </c>
      <c r="E8" s="9" t="n">
        <v>12</v>
      </c>
      <c r="F8" s="4" t="inlineStr">
        <is>
          <t>For comparison only.</t>
        </is>
      </c>
    </row>
    <row r="9">
      <c r="A9" s="4" t="inlineStr">
        <is>
          <t>GPT-5.6 Sol</t>
        </is>
      </c>
      <c r="B9" s="4" t="inlineStr">
        <is>
          <t>OpenAI</t>
        </is>
      </c>
      <c r="C9" s="4" t="inlineStr">
        <is>
          <t>Top (not needed)</t>
        </is>
      </c>
      <c r="D9" s="9" t="n">
        <v>4</v>
      </c>
      <c r="E9" s="9" t="n">
        <v>20</v>
      </c>
      <c r="F9" s="4" t="inlineStr">
        <is>
          <t>For comparison only.</t>
        </is>
      </c>
    </row>
    <row r="11">
      <c r="A11" s="2" t="inlineStr">
        <is>
          <t>Sources: morphllm.com/gemini-api-pricing; pricepertoken.com (gemini-2.5-flash); intuitionlabs.ai/articles/chatgpt-api-pricing-2026-token-costs-limits; morphllm.com/openai-api-pricing; layer3labs.io/guides/gpt-5-6-api-pricing. Prices change - re-check before deciding.</t>
        </is>
      </c>
    </row>
    <row r="12">
      <c r="A12" s="2" t="inlineStr">
        <is>
          <t>OpenAI extras not applied: Batch API -50% (24h turnaround, not usable for live chat); cached input -50%.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Monthly cost per model</t>
        </is>
      </c>
    </row>
    <row r="2">
      <c r="A2" s="2">
        <f>"Today = "&amp;TEXT(Inputs!B5,"#,##0")&amp;" chats/month.  Scaled = today x "&amp;Inputs!B6&amp;"."</f>
        <v/>
      </c>
    </row>
    <row r="4" ht="45" customHeight="1">
      <c r="A4" s="10" t="inlineStr">
        <is>
          <t>Model</t>
        </is>
      </c>
      <c r="B4" s="10" t="inlineStr">
        <is>
          <t>Level</t>
        </is>
      </c>
      <c r="C4" s="10" t="inlineStr">
        <is>
          <t>Agent helper - today ($)</t>
        </is>
      </c>
      <c r="D4" s="10" t="inlineStr">
        <is>
          <t>Agent helper - scaled ($)</t>
        </is>
      </c>
      <c r="E4" s="10" t="inlineStr">
        <is>
          <t>AI answers customers - today ($)</t>
        </is>
      </c>
      <c r="F4" s="10" t="inlineStr">
        <is>
          <t>AI answers customers - scaled ($)</t>
        </is>
      </c>
      <c r="G4" s="10" t="inlineStr">
        <is>
          <t>Agent helper - scaled (SAR)</t>
        </is>
      </c>
      <c r="H4" s="10" t="inlineStr">
        <is>
          <t>AI answers customers - scaled (SAR)</t>
        </is>
      </c>
    </row>
    <row r="5">
      <c r="A5" s="11">
        <f>Prices!A4</f>
        <v/>
      </c>
      <c r="B5" s="11">
        <f>Prices!C4</f>
        <v/>
      </c>
      <c r="C5" s="12">
        <f>Inputs!$B$5*Inputs!$B$7*(Inputs!$B$8*Prices!D4+Inputs!$B$9*Prices!E4)/1000000</f>
        <v/>
      </c>
      <c r="D5" s="12">
        <f>C5*Inputs!$B$6</f>
        <v/>
      </c>
      <c r="E5" s="12">
        <f>Inputs!$B$10*(Inputs!$B$11*Prices!D4+Inputs!$B$12*Prices!E4)/1000000</f>
        <v/>
      </c>
      <c r="F5" s="12">
        <f>E5*Inputs!$B$6</f>
        <v/>
      </c>
      <c r="G5" s="13">
        <f>D5*Inputs!$B$13</f>
        <v/>
      </c>
      <c r="H5" s="13">
        <f>F5*Inputs!$B$13</f>
        <v/>
      </c>
    </row>
    <row r="6">
      <c r="A6" s="14">
        <f>Prices!A5</f>
        <v/>
      </c>
      <c r="B6" s="14">
        <f>Prices!C5</f>
        <v/>
      </c>
      <c r="C6" s="15">
        <f>Inputs!$B$5*Inputs!$B$7*(Inputs!$B$8*Prices!D5+Inputs!$B$9*Prices!E5)/1000000</f>
        <v/>
      </c>
      <c r="D6" s="15">
        <f>C6*Inputs!$B$6</f>
        <v/>
      </c>
      <c r="E6" s="15">
        <f>Inputs!$B$10*(Inputs!$B$11*Prices!D5+Inputs!$B$12*Prices!E5)/1000000</f>
        <v/>
      </c>
      <c r="F6" s="15">
        <f>E6*Inputs!$B$6</f>
        <v/>
      </c>
      <c r="G6" s="16">
        <f>D6*Inputs!$B$13</f>
        <v/>
      </c>
      <c r="H6" s="16">
        <f>F6*Inputs!$B$13</f>
        <v/>
      </c>
    </row>
    <row r="7">
      <c r="A7" s="11">
        <f>Prices!A6</f>
        <v/>
      </c>
      <c r="B7" s="11">
        <f>Prices!C6</f>
        <v/>
      </c>
      <c r="C7" s="12">
        <f>Inputs!$B$5*Inputs!$B$7*(Inputs!$B$8*Prices!D6+Inputs!$B$9*Prices!E6)/1000000</f>
        <v/>
      </c>
      <c r="D7" s="12">
        <f>C7*Inputs!$B$6</f>
        <v/>
      </c>
      <c r="E7" s="12">
        <f>Inputs!$B$10*(Inputs!$B$11*Prices!D6+Inputs!$B$12*Prices!E6)/1000000</f>
        <v/>
      </c>
      <c r="F7" s="12">
        <f>E7*Inputs!$B$6</f>
        <v/>
      </c>
      <c r="G7" s="13">
        <f>D7*Inputs!$B$13</f>
        <v/>
      </c>
      <c r="H7" s="13">
        <f>F7*Inputs!$B$13</f>
        <v/>
      </c>
    </row>
    <row r="8">
      <c r="A8" s="11">
        <f>Prices!A7</f>
        <v/>
      </c>
      <c r="B8" s="11">
        <f>Prices!C7</f>
        <v/>
      </c>
      <c r="C8" s="12">
        <f>Inputs!$B$5*Inputs!$B$7*(Inputs!$B$8*Prices!D7+Inputs!$B$9*Prices!E7)/1000000</f>
        <v/>
      </c>
      <c r="D8" s="12">
        <f>C8*Inputs!$B$6</f>
        <v/>
      </c>
      <c r="E8" s="12">
        <f>Inputs!$B$10*(Inputs!$B$11*Prices!D7+Inputs!$B$12*Prices!E7)/1000000</f>
        <v/>
      </c>
      <c r="F8" s="12">
        <f>E8*Inputs!$B$6</f>
        <v/>
      </c>
      <c r="G8" s="13">
        <f>D8*Inputs!$B$13</f>
        <v/>
      </c>
      <c r="H8" s="13">
        <f>F8*Inputs!$B$13</f>
        <v/>
      </c>
    </row>
    <row r="9">
      <c r="A9" s="11">
        <f>Prices!A8</f>
        <v/>
      </c>
      <c r="B9" s="11">
        <f>Prices!C8</f>
        <v/>
      </c>
      <c r="C9" s="12">
        <f>Inputs!$B$5*Inputs!$B$7*(Inputs!$B$8*Prices!D8+Inputs!$B$9*Prices!E8)/1000000</f>
        <v/>
      </c>
      <c r="D9" s="12">
        <f>C9*Inputs!$B$6</f>
        <v/>
      </c>
      <c r="E9" s="12">
        <f>Inputs!$B$10*(Inputs!$B$11*Prices!D8+Inputs!$B$12*Prices!E8)/1000000</f>
        <v/>
      </c>
      <c r="F9" s="12">
        <f>E9*Inputs!$B$6</f>
        <v/>
      </c>
      <c r="G9" s="13">
        <f>D9*Inputs!$B$13</f>
        <v/>
      </c>
      <c r="H9" s="13">
        <f>F9*Inputs!$B$13</f>
        <v/>
      </c>
    </row>
    <row r="10">
      <c r="A10" s="11">
        <f>Prices!A9</f>
        <v/>
      </c>
      <c r="B10" s="11">
        <f>Prices!C9</f>
        <v/>
      </c>
      <c r="C10" s="12">
        <f>Inputs!$B$5*Inputs!$B$7*(Inputs!$B$8*Prices!D9+Inputs!$B$9*Prices!E9)/1000000</f>
        <v/>
      </c>
      <c r="D10" s="12">
        <f>C10*Inputs!$B$6</f>
        <v/>
      </c>
      <c r="E10" s="12">
        <f>Inputs!$B$10*(Inputs!$B$11*Prices!D9+Inputs!$B$12*Prices!E9)/1000000</f>
        <v/>
      </c>
      <c r="F10" s="12">
        <f>E10*Inputs!$B$6</f>
        <v/>
      </c>
      <c r="G10" s="13">
        <f>D10*Inputs!$B$13</f>
        <v/>
      </c>
      <c r="H10" s="13">
        <f>F10*Inputs!$B$13</f>
        <v/>
      </c>
    </row>
    <row r="13">
      <c r="A13" s="2" t="inlineStr">
        <is>
          <t>Agent helper = AI tools agents use today (summary, suggested reply, sentiment, enhance).</t>
        </is>
      </c>
    </row>
    <row r="14">
      <c r="A14" s="2" t="inlineStr">
        <is>
          <t>AI answers customers = a future bot replying to every customer message, with the whole chat sent each time.</t>
        </is>
      </c>
    </row>
    <row r="15">
      <c r="A15" s="2" t="inlineStr">
        <is>
          <t>Highlighted row = recommended for conversation. The Gemini row excludes "thinking" tokens (see Prices).</t>
        </is>
      </c>
    </row>
    <row r="16">
      <c r="A16" s="2" t="inlineStr">
        <is>
          <t>Replace the assumptions on Inputs with real numbers from the CRM's new ai_calls log once it has a few weeks of data.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90" customWidth="1" min="5" max="5"/>
  </cols>
  <sheetData>
    <row r="1">
      <c r="A1" s="1" t="inlineStr">
        <is>
          <t>How agents use quick replies (production, 28 Sep - 7 Oct 2026)</t>
        </is>
      </c>
    </row>
    <row r="2">
      <c r="A2" s="17" t="inlineStr">
        <is>
          <t>Agent replies (by a person): 1534</t>
        </is>
      </c>
    </row>
    <row r="3">
      <c r="A3" s="17" t="inlineStr">
        <is>
          <t>Automatic welcome messages: 78</t>
        </is>
      </c>
    </row>
    <row r="4">
      <c r="A4" s="17" t="inlineStr">
        <is>
          <t>Replies that were a quick reply: 426 (28%)</t>
        </is>
      </c>
    </row>
    <row r="5">
      <c r="A5" s="17" t="inlineStr">
        <is>
          <t>Quick replies in the library (chat): 13; used at least once: 12</t>
        </is>
      </c>
    </row>
    <row r="6">
      <c r="A6" s="2" t="inlineStr">
        <is>
          <t>Matched by comparing every agent reply with the quick-reply library (75%+ similar). "Changed" = the agent edited it before sending. From now on the CRM records this exactly (messages.source / quick_reply_id / source_edited) instead of by matching.</t>
        </is>
      </c>
    </row>
    <row r="8">
      <c r="A8" s="3" t="inlineStr">
        <is>
          <t>Quick reply</t>
        </is>
      </c>
      <c r="B8" s="3" t="inlineStr">
        <is>
          <t>Times used</t>
        </is>
      </c>
      <c r="C8" s="3" t="inlineStr">
        <is>
          <t>Sent as-is</t>
        </is>
      </c>
      <c r="D8" s="3" t="inlineStr">
        <is>
          <t>Changed first</t>
        </is>
      </c>
      <c r="E8" s="3" t="inlineStr">
        <is>
          <t>What the customer had just said (samples)</t>
        </is>
      </c>
    </row>
    <row r="9">
      <c r="A9" s="18" t="inlineStr">
        <is>
          <t>رسالة ترحيب</t>
        </is>
      </c>
      <c r="B9" s="18" t="n">
        <v>156</v>
      </c>
      <c r="C9" s="18" t="n">
        <v>156</v>
      </c>
      <c r="D9" s="18" t="n">
        <v>0</v>
      </c>
      <c r="E9" s="19" t="inlineStr">
        <is>
          <t>السلام عليكم || !!!! || Where is my order ?!!!!!</t>
        </is>
      </c>
    </row>
    <row r="10">
      <c r="A10" s="18" t="inlineStr">
        <is>
          <t>رسالة انهاء المحادثة</t>
        </is>
      </c>
      <c r="B10" s="18" t="n">
        <v>122</v>
      </c>
      <c r="C10" s="18" t="n">
        <v>120</v>
      </c>
      <c r="D10" s="18" t="n">
        <v>2</v>
      </c>
      <c r="E10" s="19" t="inlineStr">
        <is>
          <t>هلا || شكرا || لم يرفق معها عصير</t>
        </is>
      </c>
    </row>
    <row r="11">
      <c r="A11" s="18" t="inlineStr">
        <is>
          <t>عدم الرد</t>
        </is>
      </c>
      <c r="B11" s="18" t="n">
        <v>74</v>
      </c>
      <c r="C11" s="18" t="n">
        <v>40</v>
      </c>
      <c r="D11" s="18" t="n">
        <v>34</v>
      </c>
      <c r="E11" s="19" t="inlineStr">
        <is>
          <t>Salam || هذي خدمة عملاء ... تحتاجون شكوى || تاخر تو وصل المندوب</t>
        </is>
      </c>
    </row>
    <row r="12">
      <c r="A12" s="18" t="inlineStr">
        <is>
          <t>تعويض عميل عنده حساب</t>
        </is>
      </c>
      <c r="B12" s="18" t="n">
        <v>40</v>
      </c>
      <c r="C12" s="18" t="n">
        <v>37</v>
      </c>
      <c r="D12" s="18" t="n">
        <v>3</v>
      </c>
      <c r="E12" s="19" t="inlineStr">
        <is>
          <t>Salam || Salam || Salam</t>
        </is>
      </c>
    </row>
    <row r="13">
      <c r="A13" s="18" t="inlineStr">
        <is>
          <t>الغاء</t>
        </is>
      </c>
      <c r="B13" s="18" t="n">
        <v>23</v>
      </c>
      <c r="C13" s="18" t="n">
        <v>23</v>
      </c>
      <c r="D13" s="18" t="n">
        <v>0</v>
      </c>
      <c r="E13" s="19" t="inlineStr">
        <is>
          <t>ابي الغيه طيب || غلط فيه || I ordered 2 pasta now, need with white sauce only not mix</t>
        </is>
      </c>
    </row>
    <row r="14">
      <c r="A14" s="18" t="inlineStr">
        <is>
          <t>استرداد مبلغ</t>
        </is>
      </c>
      <c r="B14" s="18" t="n">
        <v>4</v>
      </c>
      <c r="C14" s="18" t="n">
        <v>4</v>
      </c>
      <c r="D14" s="18" t="n">
        <v>0</v>
      </c>
      <c r="E14" s="19" t="inlineStr">
        <is>
          <t>Thanks || نعم صحيح || لا يعطيك العافيه</t>
        </is>
      </c>
    </row>
    <row r="15">
      <c r="A15" s="18" t="inlineStr">
        <is>
          <t>تعويض عميل ليس لديه حساب</t>
        </is>
      </c>
      <c r="B15" s="18" t="n">
        <v>2</v>
      </c>
      <c r="C15" s="18" t="n">
        <v>1</v>
      </c>
      <c r="D15" s="18" t="n">
        <v>1</v>
      </c>
      <c r="E15" s="19" t="inlineStr">
        <is>
          <t>Hello || تبشر بالجنة</t>
        </is>
      </c>
    </row>
    <row r="16">
      <c r="A16" s="18" t="inlineStr">
        <is>
          <t>Compensation customer with no account</t>
        </is>
      </c>
      <c r="B16" s="18" t="n">
        <v>1</v>
      </c>
      <c r="C16" s="18" t="n">
        <v>1</v>
      </c>
      <c r="D16" s="18" t="n">
        <v>0</v>
      </c>
      <c r="E16" s="19" t="inlineStr">
        <is>
          <t>Hello</t>
        </is>
      </c>
    </row>
    <row r="17">
      <c r="A17" s="18" t="inlineStr">
        <is>
          <t>متابعة</t>
        </is>
      </c>
      <c r="B17" s="18" t="n">
        <v>1</v>
      </c>
      <c r="C17" s="18" t="n">
        <v>1</v>
      </c>
      <c r="D17" s="18" t="n">
        <v>0</v>
      </c>
      <c r="E17" s="19" t="inlineStr">
        <is>
          <t>مو اسلوب ذا طالع لي اقصى مده ساعه</t>
        </is>
      </c>
    </row>
    <row r="18">
      <c r="A18" s="18" t="inlineStr">
        <is>
          <t>Compensation for customer with account</t>
        </is>
      </c>
      <c r="B18" s="18" t="n">
        <v>1</v>
      </c>
      <c r="C18" s="18" t="n">
        <v>1</v>
      </c>
      <c r="D18" s="18" t="n">
        <v>0</v>
      </c>
      <c r="E18" s="19" t="inlineStr">
        <is>
          <t>Very bad service in the restaurant</t>
        </is>
      </c>
    </row>
    <row r="19">
      <c r="A19" s="18" t="inlineStr">
        <is>
          <t>تقديم</t>
        </is>
      </c>
      <c r="B19" s="18" t="n">
        <v>1</v>
      </c>
      <c r="C19" s="18" t="n">
        <v>1</v>
      </c>
      <c r="D19" s="18" t="n">
        <v>0</v>
      </c>
      <c r="E19" s="19" t="inlineStr">
        <is>
          <t>حابه اسأل عن التوظيف</t>
        </is>
      </c>
    </row>
    <row r="20">
      <c r="A20" s="18" t="inlineStr">
        <is>
          <t>Opening</t>
        </is>
      </c>
      <c r="B20" s="18" t="n">
        <v>1</v>
      </c>
      <c r="C20" s="18" t="n">
        <v>1</v>
      </c>
      <c r="D20" s="18" t="n">
        <v>0</v>
      </c>
      <c r="E20" s="19" t="inlineStr"/>
    </row>
    <row r="22">
      <c r="A22" s="2" t="inlineStr">
        <is>
          <t>Never used: مشكلة بالنظام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2026-10-07T17:03:57Z</dcterms:created>
  <dcterms:modified xmlns:dcterms="http://purl.org/dc/terms/" xmlns:xsi="http://www.w3.org/2001/XMLSchema-instance" xsi:type="dcterms:W3CDTF">2026-10-07T17:05:31Z</dcterms:modified>
</cp:coreProperties>
</file>